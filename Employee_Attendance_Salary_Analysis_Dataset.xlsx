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390" yWindow="525" windowWidth="19815" windowHeight="7365"/>
  </bookViews>
  <sheets>
    <sheet name="Employee_Data" sheetId="1" r:id="rId1"/>
    <sheet name="Analysis" sheetId="2" r:id="rId2"/>
    <sheet name="Dashboard" sheetId="3" r:id="rId3"/>
  </sheets>
  <definedNames>
    <definedName name="_xlnm._FilterDatabase" localSheetId="0" hidden="1">Employee_Data!$A$1:$J$51</definedName>
  </definedNames>
  <calcPr calcId="125725"/>
  <pivotCaches>
    <pivotCache cacheId="15" r:id="rId4"/>
  </pivotCaches>
</workbook>
</file>

<file path=xl/calcChain.xml><?xml version="1.0" encoding="utf-8"?>
<calcChain xmlns="http://schemas.openxmlformats.org/spreadsheetml/2006/main">
  <c r="M3" i="2"/>
  <c r="M4"/>
  <c r="M5"/>
  <c r="M6"/>
  <c r="M7"/>
  <c r="M8"/>
  <c r="J5" i="3"/>
  <c r="N5"/>
  <c r="E5"/>
  <c r="A5"/>
  <c r="B21" i="2"/>
  <c r="B22"/>
  <c r="E2"/>
  <c r="D2"/>
</calcChain>
</file>

<file path=xl/sharedStrings.xml><?xml version="1.0" encoding="utf-8"?>
<sst xmlns="http://schemas.openxmlformats.org/spreadsheetml/2006/main" count="256" uniqueCount="114">
  <si>
    <t>Employee_ID</t>
  </si>
  <si>
    <t>Employee_Name</t>
  </si>
  <si>
    <t>Department</t>
  </si>
  <si>
    <t>Joining_Date</t>
  </si>
  <si>
    <t>Monthly_Salary</t>
  </si>
  <si>
    <t>Present_Days</t>
  </si>
  <si>
    <t>Absent_Days</t>
  </si>
  <si>
    <t>Overtime_Hours</t>
  </si>
  <si>
    <t>Bonus</t>
  </si>
  <si>
    <t>Final_Salary</t>
  </si>
  <si>
    <t>EMP001</t>
  </si>
  <si>
    <t>Meena</t>
  </si>
  <si>
    <t>HR</t>
  </si>
  <si>
    <t>EMP002</t>
  </si>
  <si>
    <t>Sneha</t>
  </si>
  <si>
    <t>EMP003</t>
  </si>
  <si>
    <t>Arjun</t>
  </si>
  <si>
    <t>EMP004</t>
  </si>
  <si>
    <t>Keerthi</t>
  </si>
  <si>
    <t>EMP005</t>
  </si>
  <si>
    <t>Aarav</t>
  </si>
  <si>
    <t>Finance</t>
  </si>
  <si>
    <t>EMP006</t>
  </si>
  <si>
    <t>IT</t>
  </si>
  <si>
    <t>EMP007</t>
  </si>
  <si>
    <t>EMP008</t>
  </si>
  <si>
    <t>Divya</t>
  </si>
  <si>
    <t>Marketing</t>
  </si>
  <si>
    <t>EMP009</t>
  </si>
  <si>
    <t>Varun</t>
  </si>
  <si>
    <t>EMP010</t>
  </si>
  <si>
    <t>Sales</t>
  </si>
  <si>
    <t>EMP011</t>
  </si>
  <si>
    <t>Rahul</t>
  </si>
  <si>
    <t>EMP012</t>
  </si>
  <si>
    <t>Priya</t>
  </si>
  <si>
    <t>EMP013</t>
  </si>
  <si>
    <t>EMP014</t>
  </si>
  <si>
    <t>Kavya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</si>
  <si>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</si>
  <si>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</si>
  <si>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</si>
  <si>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</si>
  <si>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</si>
  <si>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</si>
  <si>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</si>
  <si>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</si>
  <si>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Suresh</t>
  </si>
  <si>
    <t>EMP023</t>
  </si>
  <si>
    <t>Anjali</t>
  </si>
  <si>
    <t>EMP024</t>
  </si>
  <si>
    <t>Rohit</t>
  </si>
  <si>
    <t>EMP025</t>
  </si>
  <si>
    <t>EMP026</t>
  </si>
  <si>
    <t>Swathi</t>
  </si>
  <si>
    <t>EMP027</t>
  </si>
  <si>
    <t>Nikhil</t>
  </si>
  <si>
    <t>EMP028</t>
  </si>
  <si>
    <t>EMP029</t>
  </si>
  <si>
    <t>EMP030</t>
  </si>
  <si>
    <t>EMP031</t>
  </si>
  <si>
    <t>Manoj</t>
  </si>
  <si>
    <t>EMP032</t>
  </si>
  <si>
    <t>EMP033</t>
  </si>
  <si>
    <t>EMP034</t>
  </si>
  <si>
    <t>EMP035</t>
  </si>
  <si>
    <t>Kiran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</si>
  <si>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</si>
  <si>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</si>
  <si>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</si>
  <si>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</si>
  <si>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</si>
  <si>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</si>
  <si>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</si>
  <si>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</si>
  <si>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</si>
  <si>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</si>
  <si>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</si>
  <si>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Pooja</t>
  </si>
  <si>
    <t>EMP047</t>
  </si>
  <si>
    <t>EMP048</t>
  </si>
  <si>
    <t>EMP049</t>
  </si>
  <si>
    <t>EMP050</t>
  </si>
  <si>
    <t>Department with Highest Average Salary</t>
  </si>
  <si>
    <t>Row Labels</t>
  </si>
  <si>
    <t>Grand Total</t>
  </si>
  <si>
    <t>Average of Monthly_Salary</t>
  </si>
  <si>
    <t>Highest Attendance Days</t>
  </si>
  <si>
    <t>Employees with more than 5 Absences</t>
  </si>
  <si>
    <t>Employee name</t>
  </si>
  <si>
    <t>Absent days</t>
  </si>
  <si>
    <t>Total Salary Expense By Department</t>
  </si>
  <si>
    <t>Sum of Final_Salary</t>
  </si>
  <si>
    <t>INSIGHT:The Finance department has the highest total salary expense among all departments.</t>
  </si>
  <si>
    <t>Employees with the highest over time hours</t>
  </si>
  <si>
    <t>Employee name With Highest Attendance</t>
  </si>
  <si>
    <t>Employee Name</t>
  </si>
  <si>
    <t>Highest Overtime Hours</t>
  </si>
  <si>
    <r>
      <t>Insight:</t>
    </r>
    <r>
      <rPr>
        <sz val="12"/>
        <color rgb="FF7030A0"/>
        <rFont val="Calibri"/>
        <family val="2"/>
        <scheme val="minor"/>
      </rPr>
      <t xml:space="preserve"> </t>
    </r>
    <r>
      <rPr>
        <i/>
        <sz val="12"/>
        <color rgb="FF7030A0"/>
        <rFont val="Calibri"/>
        <family val="2"/>
        <scheme val="minor"/>
      </rPr>
      <t>Suresh recorded the highest overtime hours (25 hours) among all employees.</t>
    </r>
  </si>
  <si>
    <t>Average Attendance percentage( %) by Department</t>
  </si>
  <si>
    <t>Average of Present_Days</t>
  </si>
  <si>
    <t>Attendance %</t>
  </si>
  <si>
    <t>Insight: Finance has the highest average attendance percentage (83%).</t>
  </si>
  <si>
    <t>Employee Attendance &amp; Salary Analysis Dashboard</t>
  </si>
  <si>
    <t>Total Employees</t>
  </si>
  <si>
    <t>Total Salary Expense</t>
  </si>
  <si>
    <t>Average Salary</t>
  </si>
  <si>
    <t>Average Attendance(%)</t>
  </si>
  <si>
    <t>Salary expense by department</t>
  </si>
  <si>
    <t>Average Attendance % by Department</t>
  </si>
  <si>
    <t>Employee Distribution by Department</t>
  </si>
  <si>
    <t>Count of Employee_ID</t>
  </si>
  <si>
    <t>Top 5 Employees by Overtime Hours</t>
  </si>
  <si>
    <t>Sum of Overtime_Hours</t>
  </si>
</sst>
</file>

<file path=xl/styles.xml><?xml version="1.0" encoding="utf-8"?>
<styleSheet xmlns="http://schemas.openxmlformats.org/spreadsheetml/2006/main">
  <numFmts count="1">
    <numFmt numFmtId="173" formatCode="_-[$₹-44A]* #,##0.00_-;\-[$₹-44A]* #,##0.00_-;_-[$₹-44A]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rgb="FF00B0F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3" fontId="0" fillId="0" borderId="0" xfId="0" applyNumberFormat="1"/>
    <xf numFmtId="0" fontId="4" fillId="0" borderId="0" xfId="0" applyFont="1" applyAlignment="1">
      <alignment horizontal="center"/>
    </xf>
    <xf numFmtId="0" fontId="0" fillId="0" borderId="1" xfId="0" applyBorder="1"/>
    <xf numFmtId="0" fontId="5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0" applyNumberFormat="1"/>
    <xf numFmtId="9" fontId="0" fillId="0" borderId="0" xfId="1" applyFont="1"/>
    <xf numFmtId="0" fontId="0" fillId="2" borderId="0" xfId="0" applyFill="1" applyBorder="1"/>
    <xf numFmtId="0" fontId="15" fillId="0" borderId="0" xfId="0" applyFont="1" applyAlignment="1">
      <alignment horizontal="center"/>
    </xf>
    <xf numFmtId="0" fontId="17" fillId="0" borderId="0" xfId="0" applyFont="1" applyAlignme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16" fillId="0" borderId="0" xfId="1" applyFont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73" fontId="16" fillId="0" borderId="0" xfId="0" applyNumberFormat="1" applyFont="1" applyAlignment="1">
      <alignment horizontal="center" vertical="center"/>
    </xf>
    <xf numFmtId="173" fontId="16" fillId="0" borderId="0" xfId="0" applyNumberFormat="1" applyFont="1" applyAlignment="1">
      <alignment horizontal="center"/>
    </xf>
    <xf numFmtId="0" fontId="16" fillId="7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2" fontId="0" fillId="0" borderId="0" xfId="0" applyNumberFormat="1"/>
    <xf numFmtId="0" fontId="2" fillId="11" borderId="0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9">
    <dxf>
      <numFmt numFmtId="2" formatCode="0.00"/>
    </dxf>
    <dxf>
      <numFmt numFmtId="13" formatCode="0%"/>
    </dxf>
    <dxf>
      <numFmt numFmtId="13" formatCode="0%"/>
    </dxf>
    <dxf>
      <numFmt numFmtId="173" formatCode="_-[$₹-44A]* #,##0.00_-;\-[$₹-44A]* #,##0.00_-;_-[$₹-44A]* &quot;-&quot;??_-;_-@_-"/>
    </dxf>
    <dxf>
      <numFmt numFmtId="173" formatCode="_-[$₹-44A]* #,##0.00_-;\-[$₹-44A]* #,##0.00_-;_-[$₹-44A]* &quot;-&quot;??_-;_-@_-"/>
    </dxf>
    <dxf>
      <numFmt numFmtId="173" formatCode="_-[$₹-44A]* #,##0.00_-;\-[$₹-44A]* #,##0.00_-;_-[$₹-44A]* &quot;-&quot;??_-;_-@_-"/>
    </dxf>
    <dxf>
      <numFmt numFmtId="173" formatCode="_-[$₹-44A]* #,##0.00_-;\-[$₹-44A]* #,##0.00_-;_-[$₹-44A]* &quot;-&quot;??_-;_-@_-"/>
    </dxf>
    <dxf>
      <numFmt numFmtId="172" formatCode="_ [$₹-4009]\ * #,##0.00_ ;_ [$₹-4009]\ * \-#,##0.00_ ;_ [$₹-4009]\ * &quot;-&quot;??_ ;_ @_ 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[Employee_Attendance_Salary_Analysis_Dataset.xlsx]Analysis!PivotTable4</c:name>
    <c:fmtId val="1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Analysis!$A$12:$A$17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Analysis!$B$12:$B$17</c:f>
              <c:numCache>
                <c:formatCode>_-[$₹-44A]* #,##0.00_-;\-[$₹-44A]* #,##0.00_-;_-[$₹-44A]* "-"??_-;_-@_-</c:formatCode>
                <c:ptCount val="5"/>
                <c:pt idx="0">
                  <c:v>507159</c:v>
                </c:pt>
                <c:pt idx="1">
                  <c:v>751145</c:v>
                </c:pt>
                <c:pt idx="2">
                  <c:v>494718</c:v>
                </c:pt>
                <c:pt idx="3">
                  <c:v>623338</c:v>
                </c:pt>
                <c:pt idx="4">
                  <c:v>500016</c:v>
                </c:pt>
              </c:numCache>
            </c:numRef>
          </c:val>
        </c:ser>
        <c:axId val="192708608"/>
        <c:axId val="192710144"/>
      </c:barChart>
      <c:catAx>
        <c:axId val="192708608"/>
        <c:scaling>
          <c:orientation val="minMax"/>
        </c:scaling>
        <c:axPos val="b"/>
        <c:tickLblPos val="nextTo"/>
        <c:crossAx val="192710144"/>
        <c:crosses val="autoZero"/>
        <c:auto val="1"/>
        <c:lblAlgn val="ctr"/>
        <c:lblOffset val="100"/>
      </c:catAx>
      <c:valAx>
        <c:axId val="192710144"/>
        <c:scaling>
          <c:orientation val="minMax"/>
        </c:scaling>
        <c:axPos val="l"/>
        <c:majorGridlines/>
        <c:numFmt formatCode="_-[$₹-44A]* #,##0.00_-;\-[$₹-44A]* #,##0.00_-;_-[$₹-44A]* &quot;-&quot;??_-;_-@_-" sourceLinked="1"/>
        <c:tickLblPos val="nextTo"/>
        <c:crossAx val="1927086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Analysis!$L$13</c:f>
              <c:strCache>
                <c:ptCount val="1"/>
              </c:strCache>
            </c:strRef>
          </c:tx>
          <c:cat>
            <c:strRef>
              <c:f>Analysis!$K$14:$K$18</c:f>
              <c:strCache>
                <c:ptCount val="5"/>
                <c:pt idx="1">
                  <c:v>Row Labels</c:v>
                </c:pt>
                <c:pt idx="2">
                  <c:v>Finance</c:v>
                </c:pt>
                <c:pt idx="3">
                  <c:v>HR</c:v>
                </c:pt>
                <c:pt idx="4">
                  <c:v>IT</c:v>
                </c:pt>
              </c:strCache>
            </c:strRef>
          </c:cat>
          <c:val>
            <c:numRef>
              <c:f>Analysis!$L$14:$L$18</c:f>
              <c:numCache>
                <c:formatCode>General</c:formatCode>
                <c:ptCount val="5"/>
                <c:pt idx="1">
                  <c:v>0</c:v>
                </c:pt>
                <c:pt idx="2">
                  <c:v>9</c:v>
                </c:pt>
                <c:pt idx="3">
                  <c:v>13</c:v>
                </c:pt>
                <c:pt idx="4">
                  <c:v>8</c:v>
                </c:pt>
              </c:numCache>
            </c:numRef>
          </c:val>
        </c:ser>
        <c:axId val="195909888"/>
        <c:axId val="202813440"/>
      </c:barChart>
      <c:catAx>
        <c:axId val="195909888"/>
        <c:scaling>
          <c:orientation val="minMax"/>
        </c:scaling>
        <c:axPos val="l"/>
        <c:tickLblPos val="nextTo"/>
        <c:crossAx val="202813440"/>
        <c:crosses val="autoZero"/>
        <c:auto val="1"/>
        <c:lblAlgn val="ctr"/>
        <c:lblOffset val="100"/>
      </c:catAx>
      <c:valAx>
        <c:axId val="202813440"/>
        <c:scaling>
          <c:orientation val="minMax"/>
        </c:scaling>
        <c:axPos val="b"/>
        <c:majorGridlines/>
        <c:numFmt formatCode="0%" sourceLinked="1"/>
        <c:tickLblPos val="nextTo"/>
        <c:crossAx val="1959098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[Employee_Attendance_Salary_Analysis_Dataset.xlsx]Analysis!PivotTable7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Employee</a:t>
            </a:r>
            <a:r>
              <a:rPr lang="en-US" baseline="0"/>
              <a:t> Distribution by Department</a:t>
            </a:r>
            <a:endParaRPr lang="en-US"/>
          </a:p>
        </c:rich>
      </c:tx>
      <c:layout>
        <c:manualLayout>
          <c:xMode val="edge"/>
          <c:yMode val="edge"/>
          <c:x val="0.22934711286089243"/>
          <c:y val="2.3148148148148147E-2"/>
        </c:manualLayout>
      </c:layout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Analysis!$L$15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Analysis!$K$16:$K$21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Analysis!$L$16:$L$21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8</c:v>
                </c:pt>
                <c:pt idx="3">
                  <c:v>11</c:v>
                </c:pt>
                <c:pt idx="4">
                  <c:v>9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t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[Employee_Attendance_Salary_Analysis_Dataset.xlsx]Analysis!PivotTable8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5 Employees by Overtime Hours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Analysis!$T$2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Analysis!$S$3:$S$8</c:f>
              <c:strCache>
                <c:ptCount val="5"/>
                <c:pt idx="0">
                  <c:v>Divya</c:v>
                </c:pt>
                <c:pt idx="1">
                  <c:v>Aarav</c:v>
                </c:pt>
                <c:pt idx="2">
                  <c:v>Swathi</c:v>
                </c:pt>
                <c:pt idx="3">
                  <c:v>Keerthi</c:v>
                </c:pt>
                <c:pt idx="4">
                  <c:v>Varun</c:v>
                </c:pt>
              </c:strCache>
            </c:strRef>
          </c:cat>
          <c:val>
            <c:numRef>
              <c:f>Analysis!$T$3:$T$8</c:f>
              <c:numCache>
                <c:formatCode>General</c:formatCode>
                <c:ptCount val="5"/>
                <c:pt idx="0">
                  <c:v>84</c:v>
                </c:pt>
                <c:pt idx="1">
                  <c:v>60</c:v>
                </c:pt>
                <c:pt idx="2">
                  <c:v>56</c:v>
                </c:pt>
                <c:pt idx="3">
                  <c:v>55</c:v>
                </c:pt>
                <c:pt idx="4">
                  <c:v>49</c:v>
                </c:pt>
              </c:numCache>
            </c:numRef>
          </c:val>
        </c:ser>
        <c:dLbls>
          <c:showVal val="1"/>
        </c:dLbls>
        <c:overlap val="-25"/>
        <c:axId val="151284352"/>
        <c:axId val="152175360"/>
      </c:barChart>
      <c:catAx>
        <c:axId val="151284352"/>
        <c:scaling>
          <c:orientation val="minMax"/>
        </c:scaling>
        <c:axPos val="l"/>
        <c:majorTickMark val="none"/>
        <c:tickLblPos val="nextTo"/>
        <c:crossAx val="152175360"/>
        <c:crosses val="autoZero"/>
        <c:auto val="1"/>
        <c:lblAlgn val="ctr"/>
        <c:lblOffset val="100"/>
      </c:catAx>
      <c:valAx>
        <c:axId val="152175360"/>
        <c:scaling>
          <c:orientation val="minMax"/>
        </c:scaling>
        <c:delete val="1"/>
        <c:axPos val="b"/>
        <c:numFmt formatCode="General" sourceLinked="1"/>
        <c:majorTickMark val="none"/>
        <c:tickLblPos val="none"/>
        <c:crossAx val="151284352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95250</xdr:rowOff>
    </xdr:from>
    <xdr:to>
      <xdr:col>7</xdr:col>
      <xdr:colOff>304800</xdr:colOff>
      <xdr:row>22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552450</xdr:colOff>
      <xdr:row>8</xdr:row>
      <xdr:rowOff>123825</xdr:rowOff>
    </xdr:from>
    <xdr:to>
      <xdr:col>15</xdr:col>
      <xdr:colOff>247650</xdr:colOff>
      <xdr:row>23</xdr:row>
      <xdr:rowOff>9525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523875</xdr:colOff>
      <xdr:row>8</xdr:row>
      <xdr:rowOff>95250</xdr:rowOff>
    </xdr:from>
    <xdr:to>
      <xdr:col>23</xdr:col>
      <xdr:colOff>219075</xdr:colOff>
      <xdr:row>22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476250</xdr:colOff>
      <xdr:row>8</xdr:row>
      <xdr:rowOff>66675</xdr:rowOff>
    </xdr:from>
    <xdr:to>
      <xdr:col>31</xdr:col>
      <xdr:colOff>171450</xdr:colOff>
      <xdr:row>22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" refreshedDate="46203.45143854167" createdVersion="3" refreshedVersion="3" minRefreshableVersion="3" recordCount="50">
  <cacheSource type="worksheet">
    <worksheetSource ref="A1:J51" sheet="Employee_Data"/>
  </cacheSource>
  <cacheFields count="10">
    <cacheField name="Employee_ID" numFmtId="0">
      <sharedItems/>
    </cacheField>
    <cacheField name="Employee_Name" numFmtId="0">
      <sharedItems count="18">
        <s v="Meena"/>
        <s v="Sneha"/>
        <s v="Arjun"/>
        <s v="Keerthi"/>
        <s v="Aarav"/>
        <s v="Divya"/>
        <s v="Varun"/>
        <s v="Rahul"/>
        <s v="Priya"/>
        <s v="Kavya"/>
        <s v="Suresh"/>
        <s v="Anjali"/>
        <s v="Rohit"/>
        <s v="Swathi"/>
        <s v="Nikhil"/>
        <s v="Manoj"/>
        <s v="Kiran"/>
        <s v="Pooja"/>
      </sharedItems>
    </cacheField>
    <cacheField name="Department" numFmtId="0">
      <sharedItems count="5">
        <s v="HR"/>
        <s v="Finance"/>
        <s v="IT"/>
        <s v="Marketing"/>
        <s v="Sales"/>
      </sharedItems>
    </cacheField>
    <cacheField name="Joining_Date" numFmtId="14">
      <sharedItems containsSemiMixedTypes="0" containsNonDate="0" containsDate="1" containsString="0" minDate="2020-02-07T00:00:00" maxDate="2025-06-13T00:00:00"/>
    </cacheField>
    <cacheField name="Monthly_Salary" numFmtId="0">
      <sharedItems containsSemiMixedTypes="0" containsString="0" containsNumber="1" containsInteger="1" minValue="25892" maxValue="79315"/>
    </cacheField>
    <cacheField name="Present_Days" numFmtId="0">
      <sharedItems containsSemiMixedTypes="0" containsString="0" containsNumber="1" containsInteger="1" minValue="18" maxValue="30"/>
    </cacheField>
    <cacheField name="Absent_Days" numFmtId="0">
      <sharedItems containsSemiMixedTypes="0" containsString="0" containsNumber="1" containsInteger="1" minValue="0" maxValue="12"/>
    </cacheField>
    <cacheField name="Overtime_Hours" numFmtId="0">
      <sharedItems containsSemiMixedTypes="0" containsString="0" containsNumber="1" containsInteger="1" minValue="0" maxValue="25" count="26">
        <n v="10"/>
        <n v="3"/>
        <n v="0"/>
        <n v="15"/>
        <n v="24"/>
        <n v="21"/>
        <n v="14"/>
        <n v="18"/>
        <n v="7"/>
        <n v="8"/>
        <n v="4"/>
        <n v="2"/>
        <n v="20"/>
        <n v="13"/>
        <n v="5"/>
        <n v="11"/>
        <n v="25"/>
        <n v="23"/>
        <n v="16"/>
        <n v="1"/>
        <n v="19"/>
        <n v="9"/>
        <n v="12"/>
        <n v="6"/>
        <n v="22"/>
        <n v="17"/>
      </sharedItems>
    </cacheField>
    <cacheField name="Bonus" numFmtId="0">
      <sharedItems containsSemiMixedTypes="0" containsString="0" containsNumber="1" containsInteger="1" minValue="1048" maxValue="9928"/>
    </cacheField>
    <cacheField name="Final_Salary" numFmtId="0">
      <sharedItems containsSemiMixedTypes="0" containsString="0" containsNumber="1" containsInteger="1" minValue="31720" maxValue="9138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s v="EMP001"/>
    <x v="0"/>
    <x v="0"/>
    <d v="2023-05-14T00:00:00"/>
    <n v="66526"/>
    <n v="28"/>
    <n v="2"/>
    <x v="0"/>
    <n v="5419"/>
    <n v="73945"/>
  </r>
  <r>
    <s v="EMP002"/>
    <x v="1"/>
    <x v="0"/>
    <d v="2024-06-07T00:00:00"/>
    <n v="25892"/>
    <n v="30"/>
    <n v="0"/>
    <x v="1"/>
    <n v="5543"/>
    <n v="32035"/>
  </r>
  <r>
    <s v="EMP003"/>
    <x v="2"/>
    <x v="0"/>
    <d v="2020-05-23T00:00:00"/>
    <n v="58032"/>
    <n v="30"/>
    <n v="0"/>
    <x v="2"/>
    <n v="9558"/>
    <n v="67590"/>
  </r>
  <r>
    <s v="EMP004"/>
    <x v="3"/>
    <x v="0"/>
    <d v="2020-09-05T00:00:00"/>
    <n v="40240"/>
    <n v="22"/>
    <n v="8"/>
    <x v="3"/>
    <n v="2402"/>
    <n v="45642"/>
  </r>
  <r>
    <s v="EMP005"/>
    <x v="4"/>
    <x v="1"/>
    <d v="2020-02-07T00:00:00"/>
    <n v="56215"/>
    <n v="26"/>
    <n v="4"/>
    <x v="4"/>
    <n v="7079"/>
    <n v="68094"/>
  </r>
  <r>
    <s v="EMP006"/>
    <x v="4"/>
    <x v="2"/>
    <d v="2020-03-31T00:00:00"/>
    <n v="62729"/>
    <n v="24"/>
    <n v="6"/>
    <x v="3"/>
    <n v="1076"/>
    <n v="66805"/>
  </r>
  <r>
    <s v="EMP007"/>
    <x v="3"/>
    <x v="0"/>
    <d v="2022-10-09T00:00:00"/>
    <n v="34385"/>
    <n v="24"/>
    <n v="6"/>
    <x v="0"/>
    <n v="6136"/>
    <n v="42521"/>
  </r>
  <r>
    <s v="EMP008"/>
    <x v="5"/>
    <x v="3"/>
    <d v="2024-08-06T00:00:00"/>
    <n v="43515"/>
    <n v="19"/>
    <n v="11"/>
    <x v="5"/>
    <n v="1253"/>
    <n v="48968"/>
  </r>
  <r>
    <s v="EMP009"/>
    <x v="6"/>
    <x v="1"/>
    <d v="2023-01-31T00:00:00"/>
    <n v="58292"/>
    <n v="26"/>
    <n v="4"/>
    <x v="6"/>
    <n v="8334"/>
    <n v="69426"/>
  </r>
  <r>
    <s v="EMP010"/>
    <x v="5"/>
    <x v="4"/>
    <d v="2023-03-05T00:00:00"/>
    <n v="49975"/>
    <n v="20"/>
    <n v="10"/>
    <x v="7"/>
    <n v="1433"/>
    <n v="55008"/>
  </r>
  <r>
    <s v="EMP011"/>
    <x v="7"/>
    <x v="3"/>
    <d v="2023-01-08T00:00:00"/>
    <n v="54733"/>
    <n v="20"/>
    <n v="10"/>
    <x v="8"/>
    <n v="4359"/>
    <n v="60492"/>
  </r>
  <r>
    <s v="EMP012"/>
    <x v="8"/>
    <x v="2"/>
    <d v="2020-08-25T00:00:00"/>
    <n v="50458"/>
    <n v="21"/>
    <n v="9"/>
    <x v="9"/>
    <n v="9736"/>
    <n v="61794"/>
  </r>
  <r>
    <s v="EMP013"/>
    <x v="5"/>
    <x v="0"/>
    <d v="2020-10-07T00:00:00"/>
    <n v="71470"/>
    <n v="19"/>
    <n v="11"/>
    <x v="10"/>
    <n v="4122"/>
    <n v="76392"/>
  </r>
  <r>
    <s v="EMP014"/>
    <x v="9"/>
    <x v="0"/>
    <d v="2024-01-06T00:00:00"/>
    <n v="29496"/>
    <n v="23"/>
    <n v="7"/>
    <x v="0"/>
    <n v="9042"/>
    <n v="40538"/>
  </r>
  <r>
    <s v="EMP015"/>
    <x v="7"/>
    <x v="0"/>
    <d v="2020-11-28T00:00:00"/>
    <n v="79315"/>
    <n v="19"/>
    <n v="11"/>
    <x v="11"/>
    <n v="8599"/>
    <n v="88314"/>
  </r>
  <r>
    <s v="EMP016"/>
    <x v="1"/>
    <x v="4"/>
    <d v="2022-10-28T00:00:00"/>
    <n v="28544"/>
    <n v="28"/>
    <n v="2"/>
    <x v="12"/>
    <n v="2208"/>
    <n v="34752"/>
  </r>
  <r>
    <s v="EMP017"/>
    <x v="6"/>
    <x v="4"/>
    <d v="2021-12-07T00:00:00"/>
    <n v="73957"/>
    <n v="23"/>
    <n v="7"/>
    <x v="10"/>
    <n v="3898"/>
    <n v="78655"/>
  </r>
  <r>
    <s v="EMP018"/>
    <x v="6"/>
    <x v="4"/>
    <d v="2023-03-11T00:00:00"/>
    <n v="27133"/>
    <n v="29"/>
    <n v="1"/>
    <x v="13"/>
    <n v="2608"/>
    <n v="32341"/>
  </r>
  <r>
    <s v="EMP019"/>
    <x v="7"/>
    <x v="4"/>
    <d v="2020-10-22T00:00:00"/>
    <n v="53325"/>
    <n v="26"/>
    <n v="4"/>
    <x v="14"/>
    <n v="3448"/>
    <n v="57773"/>
  </r>
  <r>
    <s v="EMP020"/>
    <x v="8"/>
    <x v="0"/>
    <d v="2025-03-31T00:00:00"/>
    <n v="62924"/>
    <n v="24"/>
    <n v="6"/>
    <x v="15"/>
    <n v="3840"/>
    <n v="68964"/>
  </r>
  <r>
    <s v="EMP021"/>
    <x v="3"/>
    <x v="4"/>
    <d v="2021-02-03T00:00:00"/>
    <n v="51794"/>
    <n v="26"/>
    <n v="4"/>
    <x v="9"/>
    <n v="3271"/>
    <n v="56665"/>
  </r>
  <r>
    <s v="EMP022"/>
    <x v="10"/>
    <x v="3"/>
    <d v="2020-06-24T00:00:00"/>
    <n v="33047"/>
    <n v="26"/>
    <n v="4"/>
    <x v="16"/>
    <n v="4976"/>
    <n v="43023"/>
  </r>
  <r>
    <s v="EMP023"/>
    <x v="11"/>
    <x v="0"/>
    <d v="2022-07-02T00:00:00"/>
    <n v="37681"/>
    <n v="21"/>
    <n v="9"/>
    <x v="17"/>
    <n v="1247"/>
    <n v="43528"/>
  </r>
  <r>
    <s v="EMP024"/>
    <x v="12"/>
    <x v="4"/>
    <d v="2020-04-12T00:00:00"/>
    <n v="35168"/>
    <n v="24"/>
    <n v="6"/>
    <x v="18"/>
    <n v="9714"/>
    <n v="48082"/>
  </r>
  <r>
    <s v="EMP025"/>
    <x v="5"/>
    <x v="3"/>
    <d v="2022-05-23T00:00:00"/>
    <n v="35855"/>
    <n v="19"/>
    <n v="11"/>
    <x v="4"/>
    <n v="5743"/>
    <n v="46398"/>
  </r>
  <r>
    <s v="EMP026"/>
    <x v="13"/>
    <x v="1"/>
    <d v="2022-03-27T00:00:00"/>
    <n v="55479"/>
    <n v="26"/>
    <n v="4"/>
    <x v="8"/>
    <n v="8278"/>
    <n v="65157"/>
  </r>
  <r>
    <s v="EMP027"/>
    <x v="14"/>
    <x v="1"/>
    <d v="2024-05-01T00:00:00"/>
    <n v="29023"/>
    <n v="24"/>
    <n v="6"/>
    <x v="1"/>
    <n v="2097"/>
    <n v="31720"/>
  </r>
  <r>
    <s v="EMP028"/>
    <x v="8"/>
    <x v="3"/>
    <d v="2023-01-23T00:00:00"/>
    <n v="55720"/>
    <n v="21"/>
    <n v="9"/>
    <x v="6"/>
    <n v="1048"/>
    <n v="59568"/>
  </r>
  <r>
    <s v="EMP029"/>
    <x v="8"/>
    <x v="2"/>
    <d v="2021-03-27T00:00:00"/>
    <n v="51942"/>
    <n v="25"/>
    <n v="5"/>
    <x v="19"/>
    <n v="3569"/>
    <n v="55711"/>
  </r>
  <r>
    <s v="EMP030"/>
    <x v="13"/>
    <x v="4"/>
    <d v="2022-01-14T00:00:00"/>
    <n v="58776"/>
    <n v="18"/>
    <n v="12"/>
    <x v="7"/>
    <n v="8233"/>
    <n v="70609"/>
  </r>
  <r>
    <s v="EMP031"/>
    <x v="15"/>
    <x v="3"/>
    <d v="2024-05-06T00:00:00"/>
    <n v="67241"/>
    <n v="25"/>
    <n v="5"/>
    <x v="20"/>
    <n v="4525"/>
    <n v="75566"/>
  </r>
  <r>
    <s v="EMP032"/>
    <x v="7"/>
    <x v="3"/>
    <d v="2020-09-21T00:00:00"/>
    <n v="37362"/>
    <n v="24"/>
    <n v="6"/>
    <x v="1"/>
    <n v="8424"/>
    <n v="46386"/>
  </r>
  <r>
    <s v="EMP033"/>
    <x v="12"/>
    <x v="4"/>
    <d v="2022-03-31T00:00:00"/>
    <n v="59292"/>
    <n v="18"/>
    <n v="12"/>
    <x v="9"/>
    <n v="5239"/>
    <n v="66131"/>
  </r>
  <r>
    <s v="EMP034"/>
    <x v="4"/>
    <x v="0"/>
    <d v="2024-11-16T00:00:00"/>
    <n v="31803"/>
    <n v="30"/>
    <n v="0"/>
    <x v="10"/>
    <n v="4915"/>
    <n v="37518"/>
  </r>
  <r>
    <s v="EMP035"/>
    <x v="16"/>
    <x v="1"/>
    <d v="2024-02-15T00:00:00"/>
    <n v="59770"/>
    <n v="22"/>
    <n v="8"/>
    <x v="21"/>
    <n v="1624"/>
    <n v="63194"/>
  </r>
  <r>
    <s v="EMP036"/>
    <x v="7"/>
    <x v="3"/>
    <d v="2021-02-04T00:00:00"/>
    <n v="79273"/>
    <n v="21"/>
    <n v="9"/>
    <x v="22"/>
    <n v="9713"/>
    <n v="91386"/>
  </r>
  <r>
    <s v="EMP037"/>
    <x v="6"/>
    <x v="0"/>
    <d v="2025-06-12T00:00:00"/>
    <n v="74297"/>
    <n v="20"/>
    <n v="10"/>
    <x v="15"/>
    <n v="6269"/>
    <n v="82766"/>
  </r>
  <r>
    <s v="EMP038"/>
    <x v="12"/>
    <x v="2"/>
    <d v="2023-10-28T00:00:00"/>
    <n v="69792"/>
    <n v="19"/>
    <n v="11"/>
    <x v="23"/>
    <n v="9928"/>
    <n v="80920"/>
  </r>
  <r>
    <s v="EMP039"/>
    <x v="13"/>
    <x v="3"/>
    <d v="2023-04-20T00:00:00"/>
    <n v="33397"/>
    <n v="18"/>
    <n v="12"/>
    <x v="6"/>
    <n v="7285"/>
    <n v="43482"/>
  </r>
  <r>
    <s v="EMP040"/>
    <x v="3"/>
    <x v="1"/>
    <d v="2021-07-20T00:00:00"/>
    <n v="43541"/>
    <n v="23"/>
    <n v="7"/>
    <x v="24"/>
    <n v="1653"/>
    <n v="49594"/>
  </r>
  <r>
    <s v="EMP041"/>
    <x v="4"/>
    <x v="1"/>
    <d v="2024-09-16T00:00:00"/>
    <n v="60035"/>
    <n v="25"/>
    <n v="5"/>
    <x v="25"/>
    <n v="8545"/>
    <n v="71980"/>
  </r>
  <r>
    <s v="EMP042"/>
    <x v="7"/>
    <x v="2"/>
    <d v="2023-06-27T00:00:00"/>
    <n v="45022"/>
    <n v="28"/>
    <n v="2"/>
    <x v="19"/>
    <n v="7476"/>
    <n v="52698"/>
  </r>
  <r>
    <s v="EMP043"/>
    <x v="13"/>
    <x v="2"/>
    <d v="2023-03-31T00:00:00"/>
    <n v="40530"/>
    <n v="23"/>
    <n v="7"/>
    <x v="25"/>
    <n v="5056"/>
    <n v="48986"/>
  </r>
  <r>
    <s v="EMP044"/>
    <x v="11"/>
    <x v="2"/>
    <d v="2023-06-12T00:00:00"/>
    <n v="57823"/>
    <n v="26"/>
    <n v="4"/>
    <x v="5"/>
    <n v="1964"/>
    <n v="63987"/>
  </r>
  <r>
    <s v="EMP045"/>
    <x v="6"/>
    <x v="1"/>
    <d v="2022-04-08T00:00:00"/>
    <n v="30113"/>
    <n v="24"/>
    <n v="6"/>
    <x v="8"/>
    <n v="6427"/>
    <n v="37940"/>
  </r>
  <r>
    <s v="EMP046"/>
    <x v="17"/>
    <x v="3"/>
    <d v="2020-09-12T00:00:00"/>
    <n v="53903"/>
    <n v="25"/>
    <n v="5"/>
    <x v="1"/>
    <n v="1204"/>
    <n v="55707"/>
  </r>
  <r>
    <s v="EMP047"/>
    <x v="14"/>
    <x v="1"/>
    <d v="2023-03-06T00:00:00"/>
    <n v="38598"/>
    <n v="27"/>
    <n v="3"/>
    <x v="22"/>
    <n v="9056"/>
    <n v="50054"/>
  </r>
  <r>
    <s v="EMP048"/>
    <x v="5"/>
    <x v="0"/>
    <d v="2021-08-30T00:00:00"/>
    <n v="39589"/>
    <n v="26"/>
    <n v="4"/>
    <x v="25"/>
    <n v="8403"/>
    <n v="51392"/>
  </r>
  <r>
    <s v="EMP049"/>
    <x v="10"/>
    <x v="3"/>
    <d v="2025-04-08T00:00:00"/>
    <n v="41932"/>
    <n v="23"/>
    <n v="7"/>
    <x v="1"/>
    <n v="9830"/>
    <n v="52362"/>
  </r>
  <r>
    <s v="EMP050"/>
    <x v="1"/>
    <x v="2"/>
    <d v="2023-04-02T00:00:00"/>
    <n v="54645"/>
    <n v="23"/>
    <n v="7"/>
    <x v="19"/>
    <n v="8972"/>
    <n v="638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S2:T8" firstHeaderRow="1" firstDataRow="1" firstDataCol="1"/>
  <pivotFields count="10">
    <pivotField showAll="0"/>
    <pivotField axis="axisRow" showAll="0" measureFilter="1" sortType="descending">
      <items count="19">
        <item x="4"/>
        <item x="11"/>
        <item x="2"/>
        <item x="5"/>
        <item x="9"/>
        <item x="3"/>
        <item x="16"/>
        <item x="15"/>
        <item x="0"/>
        <item x="14"/>
        <item x="17"/>
        <item x="8"/>
        <item x="7"/>
        <item x="12"/>
        <item x="1"/>
        <item x="10"/>
        <item x="1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showAll="0"/>
    <pivotField showAll="0"/>
    <pivotField dataField="1" showAll="0">
      <items count="27">
        <item x="2"/>
        <item x="19"/>
        <item x="11"/>
        <item x="1"/>
        <item x="10"/>
        <item x="14"/>
        <item x="23"/>
        <item x="8"/>
        <item x="9"/>
        <item x="21"/>
        <item x="0"/>
        <item x="15"/>
        <item x="22"/>
        <item x="13"/>
        <item x="6"/>
        <item x="3"/>
        <item x="18"/>
        <item x="25"/>
        <item x="7"/>
        <item x="20"/>
        <item x="12"/>
        <item x="5"/>
        <item x="24"/>
        <item x="17"/>
        <item x="4"/>
        <item x="16"/>
        <item t="default"/>
      </items>
    </pivotField>
    <pivotField showAll="0"/>
    <pivotField showAll="0"/>
  </pivotFields>
  <rowFields count="1">
    <field x="1"/>
  </rowFields>
  <rowItems count="6">
    <i>
      <x v="3"/>
    </i>
    <i>
      <x/>
    </i>
    <i>
      <x v="16"/>
    </i>
    <i>
      <x v="5"/>
    </i>
    <i>
      <x v="17"/>
    </i>
    <i t="grand">
      <x/>
    </i>
  </rowItems>
  <colItems count="1">
    <i/>
  </colItems>
  <dataFields count="1">
    <dataField name="Sum of Overtime_Hours" fld="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7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K15:L21" firstHeaderRow="1" firstDataRow="1" firstDataCol="1"/>
  <pivotFields count="10">
    <pivotField dataField="1"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5">
  <location ref="K2:L8" firstHeaderRow="1" firstDataRow="1" firstDataCol="1"/>
  <pivotFields count="10"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esent_Days" fld="5" subtotal="average" baseField="0" baseItem="0" numFmtId="2"/>
  </dataFields>
  <formats count="3">
    <format dxfId="1">
      <pivotArea outline="0" collapsedLevelsAreSubtotals="1" fieldPosition="0"/>
    </format>
    <format dxfId="2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11:B17" firstHeaderRow="1" firstDataRow="1" firstDataCol="1"/>
  <pivotFields count="10"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inal_Salary" fld="9" baseField="0" baseItem="0" numFmtId="173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2:B8" firstHeaderRow="1" firstDataRow="1" firstDataCol="1"/>
  <pivotFields count="10"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_Salary" fld="4" subtotal="average" baseField="0" baseItem="0" numFmtId="173"/>
  </dataFields>
  <formats count="3">
    <format dxfId="7">
      <pivotArea collapsedLevelsAreSubtotals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J51"/>
  <sheetViews>
    <sheetView tabSelected="1" workbookViewId="0">
      <selection activeCell="C21" sqref="C21"/>
    </sheetView>
  </sheetViews>
  <sheetFormatPr defaultRowHeight="15"/>
  <cols>
    <col min="1" max="1" width="12.7109375" bestFit="1" customWidth="1"/>
    <col min="2" max="2" width="16.28515625" bestFit="1" customWidth="1"/>
    <col min="3" max="3" width="11.7109375" bestFit="1" customWidth="1"/>
    <col min="4" max="4" width="14.7109375" style="1" bestFit="1" customWidth="1"/>
    <col min="5" max="5" width="17.140625" bestFit="1" customWidth="1"/>
    <col min="6" max="6" width="13.140625" bestFit="1" customWidth="1"/>
    <col min="7" max="7" width="12.42578125" bestFit="1" customWidth="1"/>
    <col min="8" max="8" width="15.7109375" bestFit="1" customWidth="1"/>
    <col min="9" max="9" width="6.42578125" bestFit="1" customWidth="1"/>
    <col min="10" max="10" width="11.5703125" bestFit="1" customWidth="1"/>
  </cols>
  <sheetData>
    <row r="1" spans="1:10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>
      <c r="A2" t="s">
        <v>10</v>
      </c>
      <c r="B2" t="s">
        <v>11</v>
      </c>
      <c r="C2" t="s">
        <v>12</v>
      </c>
      <c r="D2" s="1">
        <v>45060</v>
      </c>
      <c r="E2">
        <v>66526</v>
      </c>
      <c r="F2">
        <v>28</v>
      </c>
      <c r="G2">
        <v>2</v>
      </c>
      <c r="H2">
        <v>10</v>
      </c>
      <c r="I2">
        <v>5419</v>
      </c>
      <c r="J2">
        <v>73945</v>
      </c>
    </row>
    <row r="3" spans="1:10" hidden="1">
      <c r="A3" t="s">
        <v>13</v>
      </c>
      <c r="B3" t="s">
        <v>14</v>
      </c>
      <c r="C3" t="s">
        <v>12</v>
      </c>
      <c r="D3" s="1">
        <v>45450</v>
      </c>
      <c r="E3">
        <v>25892</v>
      </c>
      <c r="F3">
        <v>30</v>
      </c>
      <c r="G3">
        <v>0</v>
      </c>
      <c r="H3">
        <v>3</v>
      </c>
      <c r="I3">
        <v>5543</v>
      </c>
      <c r="J3">
        <v>32035</v>
      </c>
    </row>
    <row r="4" spans="1:10" hidden="1">
      <c r="A4" t="s">
        <v>15</v>
      </c>
      <c r="B4" t="s">
        <v>16</v>
      </c>
      <c r="C4" t="s">
        <v>12</v>
      </c>
      <c r="D4" s="1">
        <v>43974</v>
      </c>
      <c r="E4">
        <v>58032</v>
      </c>
      <c r="F4">
        <v>30</v>
      </c>
      <c r="G4">
        <v>0</v>
      </c>
      <c r="H4">
        <v>0</v>
      </c>
      <c r="I4">
        <v>9558</v>
      </c>
      <c r="J4">
        <v>67590</v>
      </c>
    </row>
    <row r="5" spans="1:10">
      <c r="A5" t="s">
        <v>17</v>
      </c>
      <c r="B5" t="s">
        <v>18</v>
      </c>
      <c r="C5" t="s">
        <v>12</v>
      </c>
      <c r="D5" s="1">
        <v>44079</v>
      </c>
      <c r="E5">
        <v>40240</v>
      </c>
      <c r="F5">
        <v>22</v>
      </c>
      <c r="G5">
        <v>8</v>
      </c>
      <c r="H5">
        <v>15</v>
      </c>
      <c r="I5">
        <v>2402</v>
      </c>
      <c r="J5">
        <v>45642</v>
      </c>
    </row>
    <row r="6" spans="1:10" hidden="1">
      <c r="A6" t="s">
        <v>19</v>
      </c>
      <c r="B6" t="s">
        <v>20</v>
      </c>
      <c r="C6" t="s">
        <v>21</v>
      </c>
      <c r="D6" s="1">
        <v>43868</v>
      </c>
      <c r="E6">
        <v>56215</v>
      </c>
      <c r="F6">
        <v>26</v>
      </c>
      <c r="G6">
        <v>4</v>
      </c>
      <c r="H6">
        <v>24</v>
      </c>
      <c r="I6">
        <v>7079</v>
      </c>
      <c r="J6">
        <v>68094</v>
      </c>
    </row>
    <row r="7" spans="1:10">
      <c r="A7" t="s">
        <v>22</v>
      </c>
      <c r="B7" t="s">
        <v>20</v>
      </c>
      <c r="C7" t="s">
        <v>23</v>
      </c>
      <c r="D7" s="1">
        <v>43921</v>
      </c>
      <c r="E7">
        <v>62729</v>
      </c>
      <c r="F7">
        <v>24</v>
      </c>
      <c r="G7">
        <v>6</v>
      </c>
      <c r="H7">
        <v>15</v>
      </c>
      <c r="I7">
        <v>1076</v>
      </c>
      <c r="J7">
        <v>66805</v>
      </c>
    </row>
    <row r="8" spans="1:10">
      <c r="A8" t="s">
        <v>24</v>
      </c>
      <c r="B8" t="s">
        <v>18</v>
      </c>
      <c r="C8" t="s">
        <v>12</v>
      </c>
      <c r="D8" s="1">
        <v>44843</v>
      </c>
      <c r="E8">
        <v>34385</v>
      </c>
      <c r="F8">
        <v>24</v>
      </c>
      <c r="G8">
        <v>6</v>
      </c>
      <c r="H8">
        <v>10</v>
      </c>
      <c r="I8">
        <v>6136</v>
      </c>
      <c r="J8">
        <v>42521</v>
      </c>
    </row>
    <row r="9" spans="1:10">
      <c r="A9" t="s">
        <v>25</v>
      </c>
      <c r="B9" t="s">
        <v>26</v>
      </c>
      <c r="C9" t="s">
        <v>27</v>
      </c>
      <c r="D9" s="1">
        <v>45510</v>
      </c>
      <c r="E9">
        <v>43515</v>
      </c>
      <c r="F9">
        <v>19</v>
      </c>
      <c r="G9">
        <v>11</v>
      </c>
      <c r="H9">
        <v>21</v>
      </c>
      <c r="I9">
        <v>1253</v>
      </c>
      <c r="J9">
        <v>48968</v>
      </c>
    </row>
    <row r="10" spans="1:10" hidden="1">
      <c r="A10" t="s">
        <v>28</v>
      </c>
      <c r="B10" t="s">
        <v>29</v>
      </c>
      <c r="C10" t="s">
        <v>21</v>
      </c>
      <c r="D10" s="1">
        <v>44957</v>
      </c>
      <c r="E10">
        <v>58292</v>
      </c>
      <c r="F10">
        <v>26</v>
      </c>
      <c r="G10">
        <v>4</v>
      </c>
      <c r="H10">
        <v>14</v>
      </c>
      <c r="I10">
        <v>8334</v>
      </c>
      <c r="J10">
        <v>69426</v>
      </c>
    </row>
    <row r="11" spans="1:10">
      <c r="A11" t="s">
        <v>30</v>
      </c>
      <c r="B11" t="s">
        <v>26</v>
      </c>
      <c r="C11" t="s">
        <v>31</v>
      </c>
      <c r="D11" s="1">
        <v>44990</v>
      </c>
      <c r="E11">
        <v>49975</v>
      </c>
      <c r="F11">
        <v>20</v>
      </c>
      <c r="G11">
        <v>10</v>
      </c>
      <c r="H11">
        <v>18</v>
      </c>
      <c r="I11">
        <v>1433</v>
      </c>
      <c r="J11">
        <v>55008</v>
      </c>
    </row>
    <row r="12" spans="1:10">
      <c r="A12" t="s">
        <v>32</v>
      </c>
      <c r="B12" t="s">
        <v>33</v>
      </c>
      <c r="C12" t="s">
        <v>27</v>
      </c>
      <c r="D12" s="1">
        <v>44934</v>
      </c>
      <c r="E12">
        <v>54733</v>
      </c>
      <c r="F12">
        <v>20</v>
      </c>
      <c r="G12">
        <v>10</v>
      </c>
      <c r="H12">
        <v>7</v>
      </c>
      <c r="I12">
        <v>4359</v>
      </c>
      <c r="J12">
        <v>60492</v>
      </c>
    </row>
    <row r="13" spans="1:10">
      <c r="A13" t="s">
        <v>34</v>
      </c>
      <c r="B13" t="s">
        <v>35</v>
      </c>
      <c r="C13" t="s">
        <v>23</v>
      </c>
      <c r="D13" s="1">
        <v>44068</v>
      </c>
      <c r="E13">
        <v>50458</v>
      </c>
      <c r="F13">
        <v>21</v>
      </c>
      <c r="G13">
        <v>9</v>
      </c>
      <c r="H13">
        <v>8</v>
      </c>
      <c r="I13">
        <v>9736</v>
      </c>
      <c r="J13">
        <v>61794</v>
      </c>
    </row>
    <row r="14" spans="1:10">
      <c r="A14" t="s">
        <v>36</v>
      </c>
      <c r="B14" t="s">
        <v>26</v>
      </c>
      <c r="C14" t="s">
        <v>12</v>
      </c>
      <c r="D14" s="1">
        <v>44111</v>
      </c>
      <c r="E14">
        <v>71470</v>
      </c>
      <c r="F14">
        <v>19</v>
      </c>
      <c r="G14">
        <v>11</v>
      </c>
      <c r="H14">
        <v>4</v>
      </c>
      <c r="I14">
        <v>4122</v>
      </c>
      <c r="J14">
        <v>76392</v>
      </c>
    </row>
    <row r="15" spans="1:10">
      <c r="A15" t="s">
        <v>37</v>
      </c>
      <c r="B15" t="s">
        <v>38</v>
      </c>
      <c r="C15" t="s">
        <v>12</v>
      </c>
      <c r="D15" s="1">
        <v>45297</v>
      </c>
      <c r="E15">
        <v>29496</v>
      </c>
      <c r="F15">
        <v>23</v>
      </c>
      <c r="G15">
        <v>7</v>
      </c>
      <c r="H15">
        <v>10</v>
      </c>
      <c r="I15">
        <v>9042</v>
      </c>
      <c r="J15">
        <v>40538</v>
      </c>
    </row>
    <row r="16" spans="1:10">
      <c r="A16" t="s">
        <v>39</v>
      </c>
      <c r="B16" t="s">
        <v>33</v>
      </c>
      <c r="C16" t="s">
        <v>12</v>
      </c>
      <c r="D16" s="1">
        <v>44163</v>
      </c>
      <c r="E16">
        <v>79315</v>
      </c>
      <c r="F16">
        <v>19</v>
      </c>
      <c r="G16">
        <v>11</v>
      </c>
      <c r="H16">
        <v>2</v>
      </c>
      <c r="I16">
        <v>8599</v>
      </c>
      <c r="J16">
        <v>88314</v>
      </c>
    </row>
    <row r="17" spans="1:10" hidden="1">
      <c r="A17" t="s">
        <v>40</v>
      </c>
      <c r="B17" t="s">
        <v>14</v>
      </c>
      <c r="C17" t="s">
        <v>31</v>
      </c>
      <c r="D17" s="1">
        <v>44862</v>
      </c>
      <c r="E17">
        <v>28544</v>
      </c>
      <c r="F17">
        <v>28</v>
      </c>
      <c r="G17">
        <v>2</v>
      </c>
      <c r="H17">
        <v>20</v>
      </c>
      <c r="I17">
        <v>2208</v>
      </c>
      <c r="J17">
        <v>34752</v>
      </c>
    </row>
    <row r="18" spans="1:10">
      <c r="A18" t="s">
        <v>41</v>
      </c>
      <c r="B18" t="s">
        <v>29</v>
      </c>
      <c r="C18" t="s">
        <v>31</v>
      </c>
      <c r="D18" s="1">
        <v>44537</v>
      </c>
      <c r="E18">
        <v>73957</v>
      </c>
      <c r="F18">
        <v>23</v>
      </c>
      <c r="G18">
        <v>7</v>
      </c>
      <c r="H18">
        <v>4</v>
      </c>
      <c r="I18">
        <v>3898</v>
      </c>
      <c r="J18">
        <v>78655</v>
      </c>
    </row>
    <row r="19" spans="1:10" hidden="1">
      <c r="A19" t="s">
        <v>42</v>
      </c>
      <c r="B19" t="s">
        <v>29</v>
      </c>
      <c r="C19" t="s">
        <v>31</v>
      </c>
      <c r="D19" s="1">
        <v>44996</v>
      </c>
      <c r="E19">
        <v>27133</v>
      </c>
      <c r="F19">
        <v>29</v>
      </c>
      <c r="G19">
        <v>1</v>
      </c>
      <c r="H19">
        <v>13</v>
      </c>
      <c r="I19">
        <v>2608</v>
      </c>
      <c r="J19">
        <v>32341</v>
      </c>
    </row>
    <row r="20" spans="1:10" hidden="1">
      <c r="A20" t="s">
        <v>43</v>
      </c>
      <c r="B20" t="s">
        <v>33</v>
      </c>
      <c r="C20" t="s">
        <v>31</v>
      </c>
      <c r="D20" s="1">
        <v>44126</v>
      </c>
      <c r="E20">
        <v>53325</v>
      </c>
      <c r="F20">
        <v>26</v>
      </c>
      <c r="G20">
        <v>4</v>
      </c>
      <c r="H20">
        <v>5</v>
      </c>
      <c r="I20">
        <v>3448</v>
      </c>
      <c r="J20">
        <v>57773</v>
      </c>
    </row>
    <row r="21" spans="1:10">
      <c r="A21" t="s">
        <v>44</v>
      </c>
      <c r="B21" t="s">
        <v>35</v>
      </c>
      <c r="C21" t="s">
        <v>12</v>
      </c>
      <c r="D21" s="1">
        <v>45747</v>
      </c>
      <c r="E21">
        <v>62924</v>
      </c>
      <c r="F21">
        <v>24</v>
      </c>
      <c r="G21">
        <v>6</v>
      </c>
      <c r="H21">
        <v>11</v>
      </c>
      <c r="I21">
        <v>3840</v>
      </c>
      <c r="J21">
        <v>68964</v>
      </c>
    </row>
    <row r="22" spans="1:10" hidden="1">
      <c r="A22" t="s">
        <v>45</v>
      </c>
      <c r="B22" t="s">
        <v>18</v>
      </c>
      <c r="C22" t="s">
        <v>31</v>
      </c>
      <c r="D22" s="1">
        <v>44230</v>
      </c>
      <c r="E22">
        <v>51794</v>
      </c>
      <c r="F22">
        <v>26</v>
      </c>
      <c r="G22">
        <v>4</v>
      </c>
      <c r="H22">
        <v>8</v>
      </c>
      <c r="I22">
        <v>3271</v>
      </c>
      <c r="J22">
        <v>56665</v>
      </c>
    </row>
    <row r="23" spans="1:10" hidden="1">
      <c r="A23" t="s">
        <v>46</v>
      </c>
      <c r="B23" t="s">
        <v>47</v>
      </c>
      <c r="C23" t="s">
        <v>27</v>
      </c>
      <c r="D23" s="1">
        <v>44006</v>
      </c>
      <c r="E23">
        <v>33047</v>
      </c>
      <c r="F23">
        <v>26</v>
      </c>
      <c r="G23">
        <v>4</v>
      </c>
      <c r="H23">
        <v>25</v>
      </c>
      <c r="I23">
        <v>4976</v>
      </c>
      <c r="J23">
        <v>43023</v>
      </c>
    </row>
    <row r="24" spans="1:10">
      <c r="A24" t="s">
        <v>48</v>
      </c>
      <c r="B24" t="s">
        <v>49</v>
      </c>
      <c r="C24" t="s">
        <v>12</v>
      </c>
      <c r="D24" s="1">
        <v>44744</v>
      </c>
      <c r="E24">
        <v>37681</v>
      </c>
      <c r="F24">
        <v>21</v>
      </c>
      <c r="G24">
        <v>9</v>
      </c>
      <c r="H24">
        <v>23</v>
      </c>
      <c r="I24">
        <v>1247</v>
      </c>
      <c r="J24">
        <v>43528</v>
      </c>
    </row>
    <row r="25" spans="1:10">
      <c r="A25" t="s">
        <v>50</v>
      </c>
      <c r="B25" t="s">
        <v>51</v>
      </c>
      <c r="C25" t="s">
        <v>31</v>
      </c>
      <c r="D25" s="1">
        <v>43933</v>
      </c>
      <c r="E25">
        <v>35168</v>
      </c>
      <c r="F25">
        <v>24</v>
      </c>
      <c r="G25">
        <v>6</v>
      </c>
      <c r="H25">
        <v>16</v>
      </c>
      <c r="I25">
        <v>9714</v>
      </c>
      <c r="J25">
        <v>48082</v>
      </c>
    </row>
    <row r="26" spans="1:10">
      <c r="A26" t="s">
        <v>52</v>
      </c>
      <c r="B26" t="s">
        <v>26</v>
      </c>
      <c r="C26" t="s">
        <v>27</v>
      </c>
      <c r="D26" s="1">
        <v>44704</v>
      </c>
      <c r="E26">
        <v>35855</v>
      </c>
      <c r="F26">
        <v>19</v>
      </c>
      <c r="G26">
        <v>11</v>
      </c>
      <c r="H26">
        <v>24</v>
      </c>
      <c r="I26">
        <v>5743</v>
      </c>
      <c r="J26">
        <v>46398</v>
      </c>
    </row>
    <row r="27" spans="1:10" hidden="1">
      <c r="A27" t="s">
        <v>53</v>
      </c>
      <c r="B27" t="s">
        <v>54</v>
      </c>
      <c r="C27" t="s">
        <v>21</v>
      </c>
      <c r="D27" s="1">
        <v>44647</v>
      </c>
      <c r="E27">
        <v>55479</v>
      </c>
      <c r="F27">
        <v>26</v>
      </c>
      <c r="G27">
        <v>4</v>
      </c>
      <c r="H27">
        <v>7</v>
      </c>
      <c r="I27">
        <v>8278</v>
      </c>
      <c r="J27">
        <v>65157</v>
      </c>
    </row>
    <row r="28" spans="1:10">
      <c r="A28" t="s">
        <v>55</v>
      </c>
      <c r="B28" t="s">
        <v>56</v>
      </c>
      <c r="C28" t="s">
        <v>21</v>
      </c>
      <c r="D28" s="1">
        <v>45413</v>
      </c>
      <c r="E28">
        <v>29023</v>
      </c>
      <c r="F28">
        <v>24</v>
      </c>
      <c r="G28">
        <v>6</v>
      </c>
      <c r="H28">
        <v>3</v>
      </c>
      <c r="I28">
        <v>2097</v>
      </c>
      <c r="J28">
        <v>31720</v>
      </c>
    </row>
    <row r="29" spans="1:10">
      <c r="A29" t="s">
        <v>57</v>
      </c>
      <c r="B29" t="s">
        <v>35</v>
      </c>
      <c r="C29" t="s">
        <v>27</v>
      </c>
      <c r="D29" s="1">
        <v>44949</v>
      </c>
      <c r="E29">
        <v>55720</v>
      </c>
      <c r="F29">
        <v>21</v>
      </c>
      <c r="G29">
        <v>9</v>
      </c>
      <c r="H29">
        <v>14</v>
      </c>
      <c r="I29">
        <v>1048</v>
      </c>
      <c r="J29">
        <v>59568</v>
      </c>
    </row>
    <row r="30" spans="1:10" hidden="1">
      <c r="A30" t="s">
        <v>58</v>
      </c>
      <c r="B30" t="s">
        <v>35</v>
      </c>
      <c r="C30" t="s">
        <v>23</v>
      </c>
      <c r="D30" s="1">
        <v>44282</v>
      </c>
      <c r="E30">
        <v>51942</v>
      </c>
      <c r="F30">
        <v>25</v>
      </c>
      <c r="G30">
        <v>5</v>
      </c>
      <c r="H30">
        <v>1</v>
      </c>
      <c r="I30">
        <v>3569</v>
      </c>
      <c r="J30">
        <v>55711</v>
      </c>
    </row>
    <row r="31" spans="1:10">
      <c r="A31" t="s">
        <v>59</v>
      </c>
      <c r="B31" t="s">
        <v>54</v>
      </c>
      <c r="C31" t="s">
        <v>31</v>
      </c>
      <c r="D31" s="1">
        <v>44575</v>
      </c>
      <c r="E31">
        <v>58776</v>
      </c>
      <c r="F31">
        <v>18</v>
      </c>
      <c r="G31">
        <v>12</v>
      </c>
      <c r="H31">
        <v>18</v>
      </c>
      <c r="I31">
        <v>8233</v>
      </c>
      <c r="J31">
        <v>70609</v>
      </c>
    </row>
    <row r="32" spans="1:10" hidden="1">
      <c r="A32" t="s">
        <v>60</v>
      </c>
      <c r="B32" t="s">
        <v>61</v>
      </c>
      <c r="C32" t="s">
        <v>27</v>
      </c>
      <c r="D32" s="1">
        <v>45418</v>
      </c>
      <c r="E32">
        <v>67241</v>
      </c>
      <c r="F32">
        <v>25</v>
      </c>
      <c r="G32">
        <v>5</v>
      </c>
      <c r="H32">
        <v>19</v>
      </c>
      <c r="I32">
        <v>4525</v>
      </c>
      <c r="J32">
        <v>75566</v>
      </c>
    </row>
    <row r="33" spans="1:10">
      <c r="A33" t="s">
        <v>62</v>
      </c>
      <c r="B33" t="s">
        <v>33</v>
      </c>
      <c r="C33" t="s">
        <v>27</v>
      </c>
      <c r="D33" s="1">
        <v>44095</v>
      </c>
      <c r="E33">
        <v>37362</v>
      </c>
      <c r="F33">
        <v>24</v>
      </c>
      <c r="G33">
        <v>6</v>
      </c>
      <c r="H33">
        <v>3</v>
      </c>
      <c r="I33">
        <v>8424</v>
      </c>
      <c r="J33">
        <v>46386</v>
      </c>
    </row>
    <row r="34" spans="1:10">
      <c r="A34" t="s">
        <v>63</v>
      </c>
      <c r="B34" t="s">
        <v>51</v>
      </c>
      <c r="C34" t="s">
        <v>31</v>
      </c>
      <c r="D34" s="1">
        <v>44651</v>
      </c>
      <c r="E34">
        <v>59292</v>
      </c>
      <c r="F34">
        <v>18</v>
      </c>
      <c r="G34">
        <v>12</v>
      </c>
      <c r="H34">
        <v>8</v>
      </c>
      <c r="I34">
        <v>5239</v>
      </c>
      <c r="J34">
        <v>66131</v>
      </c>
    </row>
    <row r="35" spans="1:10" hidden="1">
      <c r="A35" t="s">
        <v>64</v>
      </c>
      <c r="B35" t="s">
        <v>20</v>
      </c>
      <c r="C35" t="s">
        <v>12</v>
      </c>
      <c r="D35" s="1">
        <v>45612</v>
      </c>
      <c r="E35">
        <v>31803</v>
      </c>
      <c r="F35">
        <v>30</v>
      </c>
      <c r="G35">
        <v>0</v>
      </c>
      <c r="H35">
        <v>4</v>
      </c>
      <c r="I35">
        <v>4915</v>
      </c>
      <c r="J35">
        <v>37518</v>
      </c>
    </row>
    <row r="36" spans="1:10">
      <c r="A36" t="s">
        <v>65</v>
      </c>
      <c r="B36" t="s">
        <v>66</v>
      </c>
      <c r="C36" t="s">
        <v>21</v>
      </c>
      <c r="D36" s="1">
        <v>45337</v>
      </c>
      <c r="E36">
        <v>59770</v>
      </c>
      <c r="F36">
        <v>22</v>
      </c>
      <c r="G36">
        <v>8</v>
      </c>
      <c r="H36">
        <v>9</v>
      </c>
      <c r="I36">
        <v>1624</v>
      </c>
      <c r="J36">
        <v>63194</v>
      </c>
    </row>
    <row r="37" spans="1:10">
      <c r="A37" t="s">
        <v>67</v>
      </c>
      <c r="B37" t="s">
        <v>33</v>
      </c>
      <c r="C37" t="s">
        <v>27</v>
      </c>
      <c r="D37" s="1">
        <v>44231</v>
      </c>
      <c r="E37">
        <v>79273</v>
      </c>
      <c r="F37">
        <v>21</v>
      </c>
      <c r="G37">
        <v>9</v>
      </c>
      <c r="H37">
        <v>12</v>
      </c>
      <c r="I37">
        <v>9713</v>
      </c>
      <c r="J37">
        <v>91386</v>
      </c>
    </row>
    <row r="38" spans="1:10">
      <c r="A38" t="s">
        <v>68</v>
      </c>
      <c r="B38" t="s">
        <v>29</v>
      </c>
      <c r="C38" t="s">
        <v>12</v>
      </c>
      <c r="D38" s="1">
        <v>45820</v>
      </c>
      <c r="E38">
        <v>74297</v>
      </c>
      <c r="F38">
        <v>20</v>
      </c>
      <c r="G38">
        <v>10</v>
      </c>
      <c r="H38">
        <v>11</v>
      </c>
      <c r="I38">
        <v>6269</v>
      </c>
      <c r="J38">
        <v>82766</v>
      </c>
    </row>
    <row r="39" spans="1:10">
      <c r="A39" t="s">
        <v>69</v>
      </c>
      <c r="B39" t="s">
        <v>51</v>
      </c>
      <c r="C39" t="s">
        <v>23</v>
      </c>
      <c r="D39" s="1">
        <v>45227</v>
      </c>
      <c r="E39">
        <v>69792</v>
      </c>
      <c r="F39">
        <v>19</v>
      </c>
      <c r="G39">
        <v>11</v>
      </c>
      <c r="H39">
        <v>6</v>
      </c>
      <c r="I39">
        <v>9928</v>
      </c>
      <c r="J39">
        <v>80920</v>
      </c>
    </row>
    <row r="40" spans="1:10">
      <c r="A40" t="s">
        <v>70</v>
      </c>
      <c r="B40" t="s">
        <v>54</v>
      </c>
      <c r="C40" t="s">
        <v>27</v>
      </c>
      <c r="D40" s="1">
        <v>45036</v>
      </c>
      <c r="E40">
        <v>33397</v>
      </c>
      <c r="F40">
        <v>18</v>
      </c>
      <c r="G40">
        <v>12</v>
      </c>
      <c r="H40">
        <v>14</v>
      </c>
      <c r="I40">
        <v>7285</v>
      </c>
      <c r="J40">
        <v>43482</v>
      </c>
    </row>
    <row r="41" spans="1:10">
      <c r="A41" t="s">
        <v>71</v>
      </c>
      <c r="B41" t="s">
        <v>18</v>
      </c>
      <c r="C41" t="s">
        <v>21</v>
      </c>
      <c r="D41" s="1">
        <v>44397</v>
      </c>
      <c r="E41">
        <v>43541</v>
      </c>
      <c r="F41">
        <v>23</v>
      </c>
      <c r="G41">
        <v>7</v>
      </c>
      <c r="H41">
        <v>22</v>
      </c>
      <c r="I41">
        <v>1653</v>
      </c>
      <c r="J41">
        <v>49594</v>
      </c>
    </row>
    <row r="42" spans="1:10" hidden="1">
      <c r="A42" t="s">
        <v>72</v>
      </c>
      <c r="B42" t="s">
        <v>20</v>
      </c>
      <c r="C42" t="s">
        <v>21</v>
      </c>
      <c r="D42" s="1">
        <v>45551</v>
      </c>
      <c r="E42">
        <v>60035</v>
      </c>
      <c r="F42">
        <v>25</v>
      </c>
      <c r="G42">
        <v>5</v>
      </c>
      <c r="H42">
        <v>17</v>
      </c>
      <c r="I42">
        <v>8545</v>
      </c>
      <c r="J42">
        <v>71980</v>
      </c>
    </row>
    <row r="43" spans="1:10" hidden="1">
      <c r="A43" t="s">
        <v>73</v>
      </c>
      <c r="B43" t="s">
        <v>33</v>
      </c>
      <c r="C43" t="s">
        <v>23</v>
      </c>
      <c r="D43" s="1">
        <v>45104</v>
      </c>
      <c r="E43">
        <v>45022</v>
      </c>
      <c r="F43">
        <v>28</v>
      </c>
      <c r="G43">
        <v>2</v>
      </c>
      <c r="H43">
        <v>1</v>
      </c>
      <c r="I43">
        <v>7476</v>
      </c>
      <c r="J43">
        <v>52698</v>
      </c>
    </row>
    <row r="44" spans="1:10">
      <c r="A44" t="s">
        <v>74</v>
      </c>
      <c r="B44" t="s">
        <v>54</v>
      </c>
      <c r="C44" t="s">
        <v>23</v>
      </c>
      <c r="D44" s="1">
        <v>45016</v>
      </c>
      <c r="E44">
        <v>40530</v>
      </c>
      <c r="F44">
        <v>23</v>
      </c>
      <c r="G44">
        <v>7</v>
      </c>
      <c r="H44">
        <v>17</v>
      </c>
      <c r="I44">
        <v>5056</v>
      </c>
      <c r="J44">
        <v>48986</v>
      </c>
    </row>
    <row r="45" spans="1:10" hidden="1">
      <c r="A45" t="s">
        <v>75</v>
      </c>
      <c r="B45" t="s">
        <v>49</v>
      </c>
      <c r="C45" t="s">
        <v>23</v>
      </c>
      <c r="D45" s="1">
        <v>45089</v>
      </c>
      <c r="E45">
        <v>57823</v>
      </c>
      <c r="F45">
        <v>26</v>
      </c>
      <c r="G45">
        <v>4</v>
      </c>
      <c r="H45">
        <v>21</v>
      </c>
      <c r="I45">
        <v>1964</v>
      </c>
      <c r="J45">
        <v>63987</v>
      </c>
    </row>
    <row r="46" spans="1:10">
      <c r="A46" t="s">
        <v>76</v>
      </c>
      <c r="B46" t="s">
        <v>29</v>
      </c>
      <c r="C46" t="s">
        <v>21</v>
      </c>
      <c r="D46" s="1">
        <v>44659</v>
      </c>
      <c r="E46">
        <v>30113</v>
      </c>
      <c r="F46">
        <v>24</v>
      </c>
      <c r="G46">
        <v>6</v>
      </c>
      <c r="H46">
        <v>7</v>
      </c>
      <c r="I46">
        <v>6427</v>
      </c>
      <c r="J46">
        <v>37940</v>
      </c>
    </row>
    <row r="47" spans="1:10" hidden="1">
      <c r="A47" t="s">
        <v>77</v>
      </c>
      <c r="B47" t="s">
        <v>78</v>
      </c>
      <c r="C47" t="s">
        <v>27</v>
      </c>
      <c r="D47" s="1">
        <v>44086</v>
      </c>
      <c r="E47">
        <v>53903</v>
      </c>
      <c r="F47">
        <v>25</v>
      </c>
      <c r="G47">
        <v>5</v>
      </c>
      <c r="H47">
        <v>3</v>
      </c>
      <c r="I47">
        <v>1204</v>
      </c>
      <c r="J47">
        <v>55707</v>
      </c>
    </row>
    <row r="48" spans="1:10" hidden="1">
      <c r="A48" t="s">
        <v>79</v>
      </c>
      <c r="B48" t="s">
        <v>56</v>
      </c>
      <c r="C48" t="s">
        <v>21</v>
      </c>
      <c r="D48" s="1">
        <v>44991</v>
      </c>
      <c r="E48">
        <v>38598</v>
      </c>
      <c r="F48">
        <v>27</v>
      </c>
      <c r="G48">
        <v>3</v>
      </c>
      <c r="H48">
        <v>12</v>
      </c>
      <c r="I48">
        <v>9056</v>
      </c>
      <c r="J48">
        <v>50054</v>
      </c>
    </row>
    <row r="49" spans="1:10" hidden="1">
      <c r="A49" t="s">
        <v>80</v>
      </c>
      <c r="B49" t="s">
        <v>26</v>
      </c>
      <c r="C49" t="s">
        <v>12</v>
      </c>
      <c r="D49" s="1">
        <v>44438</v>
      </c>
      <c r="E49">
        <v>39589</v>
      </c>
      <c r="F49">
        <v>26</v>
      </c>
      <c r="G49">
        <v>4</v>
      </c>
      <c r="H49">
        <v>17</v>
      </c>
      <c r="I49">
        <v>8403</v>
      </c>
      <c r="J49">
        <v>51392</v>
      </c>
    </row>
    <row r="50" spans="1:10">
      <c r="A50" t="s">
        <v>81</v>
      </c>
      <c r="B50" t="s">
        <v>47</v>
      </c>
      <c r="C50" t="s">
        <v>27</v>
      </c>
      <c r="D50" s="1">
        <v>45755</v>
      </c>
      <c r="E50">
        <v>41932</v>
      </c>
      <c r="F50">
        <v>23</v>
      </c>
      <c r="G50">
        <v>7</v>
      </c>
      <c r="H50">
        <v>3</v>
      </c>
      <c r="I50">
        <v>9830</v>
      </c>
      <c r="J50">
        <v>52362</v>
      </c>
    </row>
    <row r="51" spans="1:10">
      <c r="A51" t="s">
        <v>82</v>
      </c>
      <c r="B51" t="s">
        <v>14</v>
      </c>
      <c r="C51" t="s">
        <v>23</v>
      </c>
      <c r="D51" s="1">
        <v>45018</v>
      </c>
      <c r="E51">
        <v>54645</v>
      </c>
      <c r="F51">
        <v>23</v>
      </c>
      <c r="G51">
        <v>7</v>
      </c>
      <c r="H51">
        <v>1</v>
      </c>
      <c r="I51">
        <v>8972</v>
      </c>
      <c r="J51">
        <v>63817</v>
      </c>
    </row>
  </sheetData>
  <autoFilter ref="A1:J51">
    <filterColumn colId="6">
      <customFilters>
        <customFilter operator="greaterThan" val="5"/>
      </customFilters>
    </filterColumn>
  </autoFilter>
  <conditionalFormatting sqref="A2">
    <cfRule type="duplicateValues" dxfId="8" priority="1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2"/>
  <sheetViews>
    <sheetView workbookViewId="0">
      <selection activeCell="D8" sqref="D8"/>
    </sheetView>
  </sheetViews>
  <sheetFormatPr defaultRowHeight="15"/>
  <cols>
    <col min="1" max="1" width="23.140625" customWidth="1"/>
    <col min="2" max="2" width="26.85546875" bestFit="1" customWidth="1"/>
    <col min="4" max="4" width="47.85546875" bestFit="1" customWidth="1"/>
    <col min="5" max="5" width="29.28515625" bestFit="1" customWidth="1"/>
    <col min="7" max="7" width="15.42578125" bestFit="1" customWidth="1"/>
    <col min="8" max="8" width="11.7109375" bestFit="1" customWidth="1"/>
    <col min="9" max="9" width="20.7109375" bestFit="1" customWidth="1"/>
    <col min="11" max="11" width="13.140625" bestFit="1" customWidth="1"/>
    <col min="12" max="12" width="21" customWidth="1"/>
    <col min="13" max="13" width="13.42578125" bestFit="1" customWidth="1"/>
    <col min="19" max="19" width="13.140625" bestFit="1" customWidth="1"/>
    <col min="20" max="20" width="22.5703125" bestFit="1" customWidth="1"/>
  </cols>
  <sheetData>
    <row r="1" spans="1:24" ht="18.75">
      <c r="A1" s="10" t="s">
        <v>83</v>
      </c>
      <c r="B1" s="10"/>
      <c r="D1" s="13" t="s">
        <v>95</v>
      </c>
      <c r="E1" s="13" t="s">
        <v>87</v>
      </c>
      <c r="G1" s="14" t="s">
        <v>88</v>
      </c>
      <c r="H1" s="14"/>
      <c r="I1" s="14"/>
      <c r="K1" s="19" t="s">
        <v>99</v>
      </c>
      <c r="L1" s="19"/>
      <c r="M1" s="19"/>
      <c r="N1" s="19"/>
      <c r="O1" s="19"/>
      <c r="P1" s="19"/>
      <c r="Q1" s="19"/>
      <c r="R1" s="12" t="s">
        <v>112</v>
      </c>
      <c r="S1" s="8"/>
      <c r="T1" s="8"/>
      <c r="U1" s="8"/>
      <c r="V1" s="8"/>
      <c r="W1" s="8"/>
      <c r="X1" s="8"/>
    </row>
    <row r="2" spans="1:24">
      <c r="A2" s="4" t="s">
        <v>84</v>
      </c>
      <c r="B2" s="7" t="s">
        <v>86</v>
      </c>
      <c r="D2" t="str">
        <f>INDEX(Employee_Data!B2:B51,MATCH(MAX(Employee_Data!F2:F51),Employee_Data!F2:F51,0))</f>
        <v>Sneha</v>
      </c>
      <c r="E2">
        <f>MAX(Employee_Data!F2:F51)</f>
        <v>30</v>
      </c>
      <c r="G2" s="9" t="s">
        <v>89</v>
      </c>
      <c r="H2" s="9" t="s">
        <v>90</v>
      </c>
      <c r="K2" s="4" t="s">
        <v>84</v>
      </c>
      <c r="L2" s="20" t="s">
        <v>100</v>
      </c>
      <c r="M2" s="22" t="s">
        <v>101</v>
      </c>
      <c r="S2" s="4" t="s">
        <v>84</v>
      </c>
      <c r="T2" t="s">
        <v>113</v>
      </c>
    </row>
    <row r="3" spans="1:24">
      <c r="A3" s="5" t="s">
        <v>21</v>
      </c>
      <c r="B3" s="7">
        <v>47896.222222222219</v>
      </c>
      <c r="G3" s="9" t="s">
        <v>18</v>
      </c>
      <c r="H3" s="9">
        <v>8</v>
      </c>
      <c r="K3" s="5" t="s">
        <v>21</v>
      </c>
      <c r="L3" s="41">
        <v>24.777777777777779</v>
      </c>
      <c r="M3" s="21">
        <f>L3/30</f>
        <v>0.82592592592592595</v>
      </c>
      <c r="S3" s="5" t="s">
        <v>26</v>
      </c>
      <c r="T3" s="6">
        <v>84</v>
      </c>
    </row>
    <row r="4" spans="1:24">
      <c r="A4" s="5" t="s">
        <v>12</v>
      </c>
      <c r="B4" s="7">
        <v>50126.923076923078</v>
      </c>
      <c r="G4" s="9" t="s">
        <v>20</v>
      </c>
      <c r="H4" s="9">
        <v>6</v>
      </c>
      <c r="K4" s="5" t="s">
        <v>12</v>
      </c>
      <c r="L4" s="41">
        <v>24.307692307692307</v>
      </c>
      <c r="M4" s="21">
        <f t="shared" ref="M4:M8" si="0">L4/30</f>
        <v>0.81025641025641026</v>
      </c>
      <c r="S4" s="5" t="s">
        <v>20</v>
      </c>
      <c r="T4" s="6">
        <v>60</v>
      </c>
    </row>
    <row r="5" spans="1:24">
      <c r="A5" s="5" t="s">
        <v>23</v>
      </c>
      <c r="B5" s="7">
        <v>54117.625</v>
      </c>
      <c r="G5" s="9" t="s">
        <v>18</v>
      </c>
      <c r="H5" s="9">
        <v>6</v>
      </c>
      <c r="K5" s="5" t="s">
        <v>23</v>
      </c>
      <c r="L5" s="41">
        <v>23.625</v>
      </c>
      <c r="M5" s="21">
        <f t="shared" si="0"/>
        <v>0.78749999999999998</v>
      </c>
      <c r="S5" s="5" t="s">
        <v>54</v>
      </c>
      <c r="T5" s="6">
        <v>56</v>
      </c>
    </row>
    <row r="6" spans="1:24">
      <c r="A6" s="5" t="s">
        <v>27</v>
      </c>
      <c r="B6" s="7">
        <v>48725.272727272728</v>
      </c>
      <c r="G6" s="9" t="s">
        <v>26</v>
      </c>
      <c r="H6" s="9">
        <v>11</v>
      </c>
      <c r="K6" s="5" t="s">
        <v>27</v>
      </c>
      <c r="L6" s="41">
        <v>21.90909090909091</v>
      </c>
      <c r="M6" s="21">
        <f t="shared" si="0"/>
        <v>0.73030303030303034</v>
      </c>
      <c r="S6" s="5" t="s">
        <v>18</v>
      </c>
      <c r="T6" s="6">
        <v>55</v>
      </c>
    </row>
    <row r="7" spans="1:24">
      <c r="A7" s="5" t="s">
        <v>31</v>
      </c>
      <c r="B7" s="7">
        <v>48662.666666666664</v>
      </c>
      <c r="G7" s="9" t="s">
        <v>26</v>
      </c>
      <c r="H7" s="9">
        <v>10</v>
      </c>
      <c r="K7" s="5" t="s">
        <v>31</v>
      </c>
      <c r="L7" s="41">
        <v>23.555555555555557</v>
      </c>
      <c r="M7" s="21">
        <f t="shared" si="0"/>
        <v>0.78518518518518521</v>
      </c>
      <c r="S7" s="5" t="s">
        <v>29</v>
      </c>
      <c r="T7" s="6">
        <v>49</v>
      </c>
    </row>
    <row r="8" spans="1:24">
      <c r="A8" s="5" t="s">
        <v>85</v>
      </c>
      <c r="B8" s="7">
        <v>49791.98</v>
      </c>
      <c r="G8" s="9" t="s">
        <v>33</v>
      </c>
      <c r="H8" s="9">
        <v>10</v>
      </c>
      <c r="K8" s="5" t="s">
        <v>85</v>
      </c>
      <c r="L8" s="41">
        <v>23.62</v>
      </c>
      <c r="M8" s="21">
        <f t="shared" si="0"/>
        <v>0.78733333333333333</v>
      </c>
      <c r="S8" s="5" t="s">
        <v>85</v>
      </c>
      <c r="T8" s="6">
        <v>304</v>
      </c>
    </row>
    <row r="9" spans="1:24">
      <c r="G9" s="9" t="s">
        <v>35</v>
      </c>
      <c r="H9" s="9">
        <v>9</v>
      </c>
    </row>
    <row r="10" spans="1:24" ht="18.75">
      <c r="A10" s="11" t="s">
        <v>91</v>
      </c>
      <c r="B10" s="11"/>
      <c r="G10" s="9" t="s">
        <v>26</v>
      </c>
      <c r="H10" s="9">
        <v>11</v>
      </c>
      <c r="K10" s="23" t="s">
        <v>102</v>
      </c>
      <c r="L10" s="23"/>
      <c r="M10" s="23"/>
      <c r="N10" s="23"/>
      <c r="O10" s="23"/>
    </row>
    <row r="11" spans="1:24">
      <c r="A11" s="4" t="s">
        <v>84</v>
      </c>
      <c r="B11" s="7" t="s">
        <v>92</v>
      </c>
      <c r="G11" s="9" t="s">
        <v>38</v>
      </c>
      <c r="H11" s="9">
        <v>7</v>
      </c>
    </row>
    <row r="12" spans="1:24">
      <c r="A12" s="5" t="s">
        <v>21</v>
      </c>
      <c r="B12" s="7">
        <v>507159</v>
      </c>
      <c r="G12" s="9" t="s">
        <v>33</v>
      </c>
      <c r="H12" s="9">
        <v>11</v>
      </c>
    </row>
    <row r="13" spans="1:24">
      <c r="A13" s="5" t="s">
        <v>12</v>
      </c>
      <c r="B13" s="7">
        <v>751145</v>
      </c>
      <c r="G13" s="9" t="s">
        <v>29</v>
      </c>
      <c r="H13" s="9">
        <v>7</v>
      </c>
      <c r="K13" s="42" t="s">
        <v>110</v>
      </c>
      <c r="L13" s="42"/>
      <c r="M13" s="42"/>
      <c r="N13" s="42"/>
      <c r="O13" s="42"/>
      <c r="P13" s="42"/>
    </row>
    <row r="14" spans="1:24">
      <c r="A14" s="5" t="s">
        <v>23</v>
      </c>
      <c r="B14" s="7">
        <v>494718</v>
      </c>
      <c r="G14" s="9" t="s">
        <v>35</v>
      </c>
      <c r="H14" s="9">
        <v>6</v>
      </c>
      <c r="K14" s="5"/>
      <c r="L14" s="21"/>
    </row>
    <row r="15" spans="1:24">
      <c r="A15" s="5" t="s">
        <v>27</v>
      </c>
      <c r="B15" s="7">
        <v>623338</v>
      </c>
      <c r="G15" s="9" t="s">
        <v>49</v>
      </c>
      <c r="H15" s="9">
        <v>9</v>
      </c>
      <c r="K15" s="4" t="s">
        <v>84</v>
      </c>
      <c r="L15" t="s">
        <v>111</v>
      </c>
    </row>
    <row r="16" spans="1:24">
      <c r="A16" s="5" t="s">
        <v>31</v>
      </c>
      <c r="B16" s="7">
        <v>500016</v>
      </c>
      <c r="G16" s="9" t="s">
        <v>51</v>
      </c>
      <c r="H16" s="9">
        <v>6</v>
      </c>
      <c r="K16" s="5" t="s">
        <v>21</v>
      </c>
      <c r="L16" s="6">
        <v>9</v>
      </c>
    </row>
    <row r="17" spans="1:12">
      <c r="A17" s="5" t="s">
        <v>85</v>
      </c>
      <c r="B17" s="7">
        <v>2876376</v>
      </c>
      <c r="G17" s="9" t="s">
        <v>26</v>
      </c>
      <c r="H17" s="9">
        <v>11</v>
      </c>
      <c r="K17" s="5" t="s">
        <v>12</v>
      </c>
      <c r="L17" s="6">
        <v>13</v>
      </c>
    </row>
    <row r="18" spans="1:12" ht="15.75">
      <c r="A18" s="15" t="s">
        <v>93</v>
      </c>
      <c r="B18" s="15"/>
      <c r="C18" s="15"/>
      <c r="D18" s="15"/>
      <c r="G18" s="9" t="s">
        <v>56</v>
      </c>
      <c r="H18" s="9">
        <v>6</v>
      </c>
      <c r="K18" s="5" t="s">
        <v>23</v>
      </c>
      <c r="L18" s="6">
        <v>8</v>
      </c>
    </row>
    <row r="19" spans="1:12">
      <c r="G19" s="9" t="s">
        <v>35</v>
      </c>
      <c r="H19" s="9">
        <v>9</v>
      </c>
      <c r="K19" s="5" t="s">
        <v>27</v>
      </c>
      <c r="L19" s="6">
        <v>11</v>
      </c>
    </row>
    <row r="20" spans="1:12" ht="18.75">
      <c r="A20" s="12" t="s">
        <v>94</v>
      </c>
      <c r="B20" s="12"/>
      <c r="G20" s="9" t="s">
        <v>54</v>
      </c>
      <c r="H20" s="9">
        <v>12</v>
      </c>
      <c r="K20" s="5" t="s">
        <v>31</v>
      </c>
      <c r="L20" s="6">
        <v>9</v>
      </c>
    </row>
    <row r="21" spans="1:12" ht="15.75">
      <c r="A21" s="16" t="s">
        <v>96</v>
      </c>
      <c r="B21" t="str">
        <f>INDEX(Employee_Data!B5:B51,MATCH(MAX(Employee_Data!H5:H51),Employee_Data!H5:H51,0))</f>
        <v>Suresh</v>
      </c>
      <c r="G21" s="9" t="s">
        <v>33</v>
      </c>
      <c r="H21" s="9">
        <v>6</v>
      </c>
      <c r="K21" s="5" t="s">
        <v>85</v>
      </c>
      <c r="L21" s="6">
        <v>50</v>
      </c>
    </row>
    <row r="22" spans="1:12" ht="15.75">
      <c r="A22" s="17" t="s">
        <v>97</v>
      </c>
      <c r="B22">
        <f>MAX(Employee_Data!H5:H51)</f>
        <v>25</v>
      </c>
      <c r="G22" s="9" t="s">
        <v>51</v>
      </c>
      <c r="H22" s="9">
        <v>12</v>
      </c>
    </row>
    <row r="23" spans="1:12" ht="15.75">
      <c r="A23" s="18" t="s">
        <v>98</v>
      </c>
      <c r="B23" s="18"/>
      <c r="C23" s="18"/>
      <c r="D23" s="18"/>
      <c r="G23" s="9" t="s">
        <v>66</v>
      </c>
      <c r="H23" s="9">
        <v>8</v>
      </c>
    </row>
    <row r="24" spans="1:12">
      <c r="G24" s="9" t="s">
        <v>33</v>
      </c>
      <c r="H24" s="9">
        <v>9</v>
      </c>
    </row>
    <row r="25" spans="1:12">
      <c r="G25" s="9" t="s">
        <v>29</v>
      </c>
      <c r="H25" s="9">
        <v>10</v>
      </c>
    </row>
    <row r="26" spans="1:12">
      <c r="G26" s="9" t="s">
        <v>51</v>
      </c>
      <c r="H26" s="9">
        <v>11</v>
      </c>
    </row>
    <row r="27" spans="1:12">
      <c r="G27" s="9" t="s">
        <v>54</v>
      </c>
      <c r="H27" s="9">
        <v>12</v>
      </c>
    </row>
    <row r="28" spans="1:12">
      <c r="G28" s="9" t="s">
        <v>18</v>
      </c>
      <c r="H28" s="9">
        <v>7</v>
      </c>
    </row>
    <row r="29" spans="1:12">
      <c r="G29" s="9" t="s">
        <v>54</v>
      </c>
      <c r="H29" s="9">
        <v>7</v>
      </c>
    </row>
    <row r="30" spans="1:12">
      <c r="G30" s="9" t="s">
        <v>29</v>
      </c>
      <c r="H30" s="9">
        <v>6</v>
      </c>
    </row>
    <row r="31" spans="1:12">
      <c r="G31" s="9" t="s">
        <v>47</v>
      </c>
      <c r="H31" s="9">
        <v>7</v>
      </c>
    </row>
    <row r="32" spans="1:12">
      <c r="G32" s="9" t="s">
        <v>14</v>
      </c>
      <c r="H32" s="9">
        <v>7</v>
      </c>
    </row>
  </sheetData>
  <mergeCells count="10">
    <mergeCell ref="A23:D23"/>
    <mergeCell ref="K1:Q1"/>
    <mergeCell ref="K10:O10"/>
    <mergeCell ref="K13:P13"/>
    <mergeCell ref="R1:X1"/>
    <mergeCell ref="G1:I1"/>
    <mergeCell ref="A10:B10"/>
    <mergeCell ref="A18:D18"/>
    <mergeCell ref="A20:B20"/>
    <mergeCell ref="A1:B1"/>
  </mergeCells>
  <pageMargins left="0.7" right="0.7" top="0.75" bottom="0.75" header="0.3" footer="0.3"/>
  <pageSetup orientation="portrait" r:id="rId6"/>
  <ignoredErrors>
    <ignoredError sqref="B21:B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9"/>
  <sheetViews>
    <sheetView showGridLines="0" workbookViewId="0">
      <selection activeCell="AM24" sqref="AM24"/>
    </sheetView>
  </sheetViews>
  <sheetFormatPr defaultRowHeight="15"/>
  <sheetData>
    <row r="1" spans="1:31" ht="31.5">
      <c r="A1" s="24" t="s">
        <v>103</v>
      </c>
      <c r="B1" s="24"/>
      <c r="C1" s="24"/>
      <c r="D1" s="24"/>
      <c r="E1" s="24"/>
      <c r="F1" s="24"/>
      <c r="G1" s="24"/>
      <c r="H1" s="24"/>
      <c r="I1" s="24"/>
      <c r="J1" s="24"/>
    </row>
    <row r="3" spans="1:31">
      <c r="A3" s="30" t="s">
        <v>104</v>
      </c>
      <c r="B3" s="31"/>
      <c r="C3" s="31"/>
      <c r="E3" s="28" t="s">
        <v>105</v>
      </c>
      <c r="F3" s="29"/>
      <c r="G3" s="29"/>
      <c r="H3" s="29"/>
      <c r="J3" s="32" t="s">
        <v>106</v>
      </c>
      <c r="K3" s="33"/>
      <c r="L3" s="33"/>
      <c r="N3" s="34" t="s">
        <v>107</v>
      </c>
      <c r="O3" s="35"/>
      <c r="P3" s="35"/>
      <c r="Q3" s="35"/>
    </row>
    <row r="4" spans="1:31">
      <c r="A4" s="31"/>
      <c r="B4" s="31"/>
      <c r="C4" s="31"/>
      <c r="E4" s="29"/>
      <c r="F4" s="29"/>
      <c r="G4" s="29"/>
      <c r="H4" s="29"/>
      <c r="J4" s="33"/>
      <c r="K4" s="33"/>
      <c r="L4" s="33"/>
      <c r="N4" s="35"/>
      <c r="O4" s="35"/>
      <c r="P4" s="35"/>
      <c r="Q4" s="35"/>
    </row>
    <row r="5" spans="1:31">
      <c r="A5" s="25">
        <f>COUNTA(Employee_Data!A:A)-1</f>
        <v>50</v>
      </c>
      <c r="B5" s="25"/>
      <c r="C5" s="25"/>
      <c r="E5" s="36">
        <f>SUM(Employee_Data!J:J)-1</f>
        <v>2876375</v>
      </c>
      <c r="F5" s="36"/>
      <c r="G5" s="36"/>
      <c r="H5" s="36"/>
      <c r="J5" s="37">
        <f>AVERAGE(Employee_Data!E:E)-1</f>
        <v>49790.98</v>
      </c>
      <c r="K5" s="37"/>
      <c r="L5" s="37"/>
      <c r="N5" s="27">
        <f>AVERAGE(Employee_Data!F:F)/30</f>
        <v>0.78733333333333333</v>
      </c>
      <c r="O5" s="27"/>
      <c r="P5" s="27"/>
      <c r="Q5" s="27"/>
    </row>
    <row r="6" spans="1:31">
      <c r="A6" s="25"/>
      <c r="B6" s="25"/>
      <c r="C6" s="25"/>
      <c r="E6" s="36"/>
      <c r="F6" s="36"/>
      <c r="G6" s="36"/>
      <c r="H6" s="36"/>
      <c r="J6" s="37"/>
      <c r="K6" s="37"/>
      <c r="L6" s="37"/>
      <c r="N6" s="27"/>
      <c r="O6" s="27"/>
      <c r="P6" s="27"/>
      <c r="Q6" s="27"/>
    </row>
    <row r="8" spans="1:31" ht="26.25">
      <c r="A8" s="38" t="s">
        <v>108</v>
      </c>
      <c r="B8" s="38"/>
      <c r="C8" s="38"/>
      <c r="D8" s="38"/>
      <c r="E8" s="38"/>
      <c r="F8" s="38"/>
      <c r="I8" s="39" t="s">
        <v>109</v>
      </c>
      <c r="J8" s="40"/>
      <c r="K8" s="40"/>
      <c r="L8" s="40"/>
      <c r="M8" s="40"/>
      <c r="N8" s="40"/>
      <c r="O8" s="40"/>
      <c r="Q8" s="45" t="s">
        <v>110</v>
      </c>
      <c r="R8" s="46"/>
      <c r="S8" s="46"/>
      <c r="T8" s="46"/>
      <c r="U8" s="46"/>
      <c r="V8" s="46"/>
      <c r="W8" s="46"/>
      <c r="Y8" s="43" t="s">
        <v>112</v>
      </c>
      <c r="Z8" s="44"/>
      <c r="AA8" s="44"/>
      <c r="AB8" s="44"/>
      <c r="AC8" s="44"/>
      <c r="AD8" s="44"/>
      <c r="AE8" s="44"/>
    </row>
    <row r="9" spans="1:31">
      <c r="J9" s="26"/>
    </row>
  </sheetData>
  <mergeCells count="12">
    <mergeCell ref="Y8:AE8"/>
    <mergeCell ref="J5:L6"/>
    <mergeCell ref="N3:Q4"/>
    <mergeCell ref="N5:Q6"/>
    <mergeCell ref="A8:F8"/>
    <mergeCell ref="I8:O8"/>
    <mergeCell ref="Q8:W8"/>
    <mergeCell ref="A3:C4"/>
    <mergeCell ref="A5:C6"/>
    <mergeCell ref="E3:H4"/>
    <mergeCell ref="E5:H6"/>
    <mergeCell ref="J3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Analysis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</cp:lastModifiedBy>
  <dcterms:created xsi:type="dcterms:W3CDTF">2026-06-29T08:25:23Z</dcterms:created>
  <dcterms:modified xsi:type="dcterms:W3CDTF">2026-07-04T05:51:20Z</dcterms:modified>
</cp:coreProperties>
</file>